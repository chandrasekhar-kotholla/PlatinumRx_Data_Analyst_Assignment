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BF0BA7A0-27BA-4166-A3F3-F387E4930D6E}" xr6:coauthVersionLast="47" xr6:coauthVersionMax="47" xr10:uidLastSave="{00000000-0000-0000-0000-000000000000}"/>
  <bookViews>
    <workbookView xWindow="-108" yWindow="-108" windowWidth="23256" windowHeight="12456" activeTab="2" xr2:uid="{C6471EF9-9D44-4B29-9842-237E08829F33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2" i="3"/>
  <c r="B3" i="3"/>
  <c r="B2" i="3"/>
  <c r="F3" i="1"/>
  <c r="F2" i="1"/>
  <c r="D3" i="2"/>
  <c r="D2" i="2"/>
  <c r="G3" i="1"/>
  <c r="G2" i="1"/>
</calcChain>
</file>

<file path=xl/sharedStrings.xml><?xml version="1.0" encoding="utf-8"?>
<sst xmlns="http://schemas.openxmlformats.org/spreadsheetml/2006/main" count="24" uniqueCount="20">
  <si>
    <t>ticket_id</t>
  </si>
  <si>
    <t xml:space="preserve">            created_at</t>
  </si>
  <si>
    <t xml:space="preserve">                   closed_at</t>
  </si>
  <si>
    <t xml:space="preserve">                outlet_id</t>
  </si>
  <si>
    <t xml:space="preserve">             cms_id          </t>
  </si>
  <si>
    <t>isu-sjd-457</t>
  </si>
  <si>
    <t>qer-fal-092</t>
  </si>
  <si>
    <t>wrqy-juv-978</t>
  </si>
  <si>
    <t>8woh-k3u-23b</t>
  </si>
  <si>
    <t>vew-iuvd-12</t>
  </si>
  <si>
    <t>abc-123</t>
  </si>
  <si>
    <t xml:space="preserve">         same_day</t>
  </si>
  <si>
    <t xml:space="preserve">          same_hour</t>
  </si>
  <si>
    <t xml:space="preserve">     cms_id</t>
  </si>
  <si>
    <t xml:space="preserve">    feedback_at</t>
  </si>
  <si>
    <t xml:space="preserve">  feedback_rating</t>
  </si>
  <si>
    <t>ticket_created_at</t>
  </si>
  <si>
    <t xml:space="preserve">               outlet_id</t>
  </si>
  <si>
    <t xml:space="preserve">     same_day_count</t>
  </si>
  <si>
    <t xml:space="preserve">  same_hour_count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</si>
</sst>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76c3338d00798f6/Desktop/ticket.xlsx" TargetMode="External"/><Relationship Id="rId1" Type="http://schemas.openxmlformats.org/officeDocument/2006/relationships/externalLinkPath" Target="https://d.docs.live.net/276c3338d00798f6/Desktop/tick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 xml:space="preserve">                     created_at</v>
          </cell>
          <cell r="D1" t="str">
            <v xml:space="preserve">                outlet_id</v>
          </cell>
          <cell r="E1" t="str">
            <v xml:space="preserve">             cms_id          </v>
          </cell>
          <cell r="F1" t="str">
            <v xml:space="preserve">                         same_day</v>
          </cell>
          <cell r="G1" t="str">
            <v xml:space="preserve">                        same_hour</v>
          </cell>
        </row>
        <row r="2">
          <cell r="B2">
            <v>44427.698414351849</v>
          </cell>
          <cell r="D2" t="str">
            <v>wrqy-juv-978</v>
          </cell>
          <cell r="E2" t="str">
            <v>vew-iuvd-12</v>
          </cell>
          <cell r="F2">
            <v>0</v>
          </cell>
          <cell r="G2">
            <v>0</v>
          </cell>
        </row>
        <row r="3">
          <cell r="B3">
            <v>44429.464837962965</v>
          </cell>
          <cell r="D3" t="str">
            <v>8woh-k3u-23b</v>
          </cell>
          <cell r="E3" t="str">
            <v>abc-123</v>
          </cell>
          <cell r="F3">
            <v>1</v>
          </cell>
          <cell r="G3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47D6-1F21-4FF5-81AE-36661473B622}">
  <dimension ref="A1:G3"/>
  <sheetViews>
    <sheetView workbookViewId="0">
      <selection activeCell="G3" sqref="G3"/>
    </sheetView>
  </sheetViews>
  <sheetFormatPr defaultRowHeight="14.4" x14ac:dyDescent="0.3"/>
  <cols>
    <col min="1" max="7" width="17.77734375" customWidth="1"/>
  </cols>
  <sheetData>
    <row r="1" spans="1:7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11</v>
      </c>
      <c r="G1" s="3" t="s">
        <v>12</v>
      </c>
    </row>
    <row r="2" spans="1:7" x14ac:dyDescent="0.3">
      <c r="A2" t="s">
        <v>5</v>
      </c>
      <c r="B2" s="1">
        <v>44427.698414351849</v>
      </c>
      <c r="C2" s="1">
        <v>44430.523287037038</v>
      </c>
      <c r="D2" t="s">
        <v>7</v>
      </c>
      <c r="E2" t="s">
        <v>9</v>
      </c>
      <c r="F2">
        <f>--(INT(B2)=INT(C2))</f>
        <v>0</v>
      </c>
      <c r="G2">
        <f>--(AND(INT(B2)=INT(C2), HOUR(B2)=HOUR(C2)))</f>
        <v>0</v>
      </c>
    </row>
    <row r="3" spans="1:7" x14ac:dyDescent="0.3">
      <c r="A3" t="s">
        <v>6</v>
      </c>
      <c r="B3" s="1">
        <v>44429.464837962965</v>
      </c>
      <c r="C3" s="1">
        <v>44429.489583333336</v>
      </c>
      <c r="D3" t="s">
        <v>8</v>
      </c>
      <c r="E3" t="s">
        <v>10</v>
      </c>
      <c r="F3">
        <f>--(INT(B3)=INT(C3))</f>
        <v>1</v>
      </c>
      <c r="G3">
        <f>--(AND(INT(B3)=INT(C3), HOUR(B3)=HOUR(C3)))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5FEE-43EC-4CD3-86D2-5FDE92BDC210}">
  <dimension ref="A1:D3"/>
  <sheetViews>
    <sheetView workbookViewId="0">
      <selection activeCell="D14" sqref="D14"/>
    </sheetView>
  </sheetViews>
  <sheetFormatPr defaultRowHeight="14.4" x14ac:dyDescent="0.3"/>
  <cols>
    <col min="1" max="6" width="17.77734375" customWidth="1"/>
  </cols>
  <sheetData>
    <row r="1" spans="1:4" x14ac:dyDescent="0.3">
      <c r="A1" s="3" t="s">
        <v>13</v>
      </c>
      <c r="B1" s="3" t="s">
        <v>14</v>
      </c>
      <c r="C1" s="3" t="s">
        <v>15</v>
      </c>
      <c r="D1" s="3" t="s">
        <v>16</v>
      </c>
    </row>
    <row r="2" spans="1:4" x14ac:dyDescent="0.3">
      <c r="A2" t="s">
        <v>9</v>
      </c>
      <c r="B2" s="1">
        <v>44429.560277777775</v>
      </c>
      <c r="C2">
        <v>3</v>
      </c>
      <c r="D2">
        <f>_xlfn.XLOOKUP(A2, [1]Sheet1!E:E, [1]Sheet1!B:B)</f>
        <v>44427.698414351849</v>
      </c>
    </row>
    <row r="3" spans="1:4" x14ac:dyDescent="0.3">
      <c r="A3" t="s">
        <v>10</v>
      </c>
      <c r="B3" s="1">
        <v>44429.75</v>
      </c>
      <c r="C3">
        <v>5</v>
      </c>
      <c r="D3">
        <f>_xlfn.XLOOKUP(A3, [1]Sheet1!E:E, [1]Sheet1!B:B)</f>
        <v>44429.464837962965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23EA-EAC1-408E-8C0F-4B330CFFCE5B}">
  <dimension ref="A1:C3"/>
  <sheetViews>
    <sheetView tabSelected="1" workbookViewId="0">
      <selection activeCell="C2" sqref="C2"/>
    </sheetView>
  </sheetViews>
  <sheetFormatPr defaultRowHeight="14.4" x14ac:dyDescent="0.3"/>
  <cols>
    <col min="1" max="4" width="17.77734375" customWidth="1"/>
    <col min="5" max="5" width="18" customWidth="1"/>
  </cols>
  <sheetData>
    <row r="1" spans="1:3" x14ac:dyDescent="0.3">
      <c r="A1" s="3" t="s">
        <v>17</v>
      </c>
      <c r="B1" s="3" t="s">
        <v>18</v>
      </c>
      <c r="C1" s="3" t="s">
        <v>19</v>
      </c>
    </row>
    <row r="2" spans="1:3" x14ac:dyDescent="0.3">
      <c r="A2" t="s">
        <v>7</v>
      </c>
      <c r="B2">
        <f>SUMIFS([1]Sheet1!F:F, [1]Sheet1!D:D, A2)</f>
        <v>0</v>
      </c>
      <c r="C2">
        <f>SUMIFS([1]Sheet1!G:G, [1]Sheet1!D:D, A2)</f>
        <v>0</v>
      </c>
    </row>
    <row r="3" spans="1:3" x14ac:dyDescent="0.3">
      <c r="A3" t="s">
        <v>8</v>
      </c>
      <c r="B3">
        <f>SUMIFS([1]Sheet1!F:F, [1]Sheet1!D:D, A3)</f>
        <v>1</v>
      </c>
      <c r="C3">
        <f>SUMIFS([1]Sheet1!G:G, [1]Sheet1!D:D, A3)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Kotholla</dc:creator>
  <cp:lastModifiedBy>Chandra Kotholla</cp:lastModifiedBy>
  <dcterms:created xsi:type="dcterms:W3CDTF">2026-04-09T08:34:56Z</dcterms:created>
  <dcterms:modified xsi:type="dcterms:W3CDTF">2026-04-09T09:18:38Z</dcterms:modified>
</cp:coreProperties>
</file>